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52ca60700354eb/Desktop/excel/"/>
    </mc:Choice>
  </mc:AlternateContent>
  <xr:revisionPtr revIDLastSave="38" documentId="8_{F10B8D1F-A81C-4548-AAD2-2C418CF9F0C7}" xr6:coauthVersionLast="47" xr6:coauthVersionMax="47" xr10:uidLastSave="{522538EB-0334-42F1-883D-D55183559175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B19" i="3"/>
</calcChain>
</file>

<file path=xl/sharedStrings.xml><?xml version="1.0" encoding="utf-8"?>
<sst xmlns="http://schemas.openxmlformats.org/spreadsheetml/2006/main" count="2019" uniqueCount="321">
  <si>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</si>
  <si>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</si>
  <si>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</si>
  <si>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</si>
  <si>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</si>
  <si>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</si>
  <si>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</si>
  <si>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</si>
  <si>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</si>
  <si>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</si>
  <si>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</si>
  <si>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</si>
  <si>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</si>
  <si>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</si>
  <si>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</si>
  <si>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</si>
  <si>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</si>
  <si>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</si>
  <si>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</si>
  <si>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</si>
  <si>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</si>
  <si>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</si>
  <si>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</si>
  <si>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</si>
  <si>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</si>
  <si>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</si>
  <si>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</si>
  <si>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</si>
  <si>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</si>
  <si>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</si>
  <si>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</si>
  <si>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</si>
  <si>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</si>
  <si>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</si>
  <si>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</si>
  <si>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</si>
  <si>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</si>
  <si>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</si>
  <si>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</si>
  <si>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</si>
  <si>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</si>
  <si>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</si>
  <si>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</si>
  <si>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</si>
  <si>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</si>
  <si>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</si>
  <si>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</si>
  <si>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</si>
  <si>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</si>
  <si>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</si>
  <si>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</si>
  <si>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</si>
  <si>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</si>
  <si>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</si>
  <si>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</si>
  <si>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</si>
  <si>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</si>
  <si>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</si>
  <si>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</si>
  <si>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</si>
  <si>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</si>
  <si>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</si>
  <si>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</si>
  <si>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</si>
  <si>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</si>
  <si>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</si>
  <si>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</si>
  <si>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</si>
  <si>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</si>
  <si>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</si>
  <si>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</si>
  <si>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</si>
  <si>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</si>
  <si>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</si>
  <si>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</si>
  <si>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</si>
  <si>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</si>
  <si>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</si>
  <si>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</si>
  <si>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</si>
  <si>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</si>
  <si>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</si>
  <si>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</si>
  <si>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</si>
  <si>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</si>
  <si>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</si>
  <si>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</si>
  <si>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</si>
  <si>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</si>
  <si>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</si>
  <si>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</si>
  <si>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</si>
  <si>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</si>
  <si>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</si>
  <si>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</si>
  <si>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</si>
  <si>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</si>
  <si>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</si>
  <si>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</si>
  <si>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</si>
  <si>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</si>
  <si>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</si>
  <si>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</si>
  <si>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</si>
  <si>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</si>
  <si>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</si>
  <si>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</si>
  <si>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</si>
  <si>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</si>
  <si>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</si>
  <si>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</si>
  <si>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</si>
  <si>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</si>
  <si>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</si>
  <si>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</si>
  <si>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</si>
  <si>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</si>
  <si>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</si>
  <si>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</si>
  <si>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</si>
  <si>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</si>
  <si>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</si>
  <si>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</si>
  <si>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</si>
  <si>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</si>
  <si>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</si>
  <si>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</si>
  <si>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</si>
  <si>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</si>
  <si>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</si>
  <si>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</si>
  <si>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</si>
  <si>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</si>
  <si>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</si>
  <si>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</si>
  <si>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</si>
  <si>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</si>
  <si>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</si>
  <si>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</si>
  <si>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</si>
  <si>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</si>
  <si>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</si>
  <si>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</si>
  <si>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</si>
  <si>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</si>
  <si>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</si>
  <si>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</si>
  <si>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</si>
  <si>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</si>
  <si>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</si>
  <si>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</si>
  <si>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</si>
  <si>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</si>
  <si>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</si>
  <si>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</si>
  <si>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</si>
  <si>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</si>
  <si>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</si>
  <si>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</si>
  <si>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</si>
  <si>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</si>
  <si>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</si>
  <si>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</si>
  <si>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</si>
  <si>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</si>
  <si>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</si>
  <si>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</si>
  <si>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</si>
  <si>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</si>
  <si>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</si>
  <si>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</si>
  <si>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</si>
  <si>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</si>
  <si>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</si>
  <si>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</si>
  <si>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</si>
  <si>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</si>
  <si>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</si>
  <si>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</si>
  <si>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</si>
  <si>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</si>
  <si>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</si>
  <si>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</si>
  <si>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</si>
  <si>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</si>
  <si>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</si>
  <si>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</si>
  <si>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</si>
  <si>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</si>
  <si>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</si>
  <si>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</si>
  <si>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</si>
  <si>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</si>
  <si>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</si>
  <si>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</si>
  <si>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</si>
  <si>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</si>
  <si>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</si>
  <si>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</si>
  <si>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</si>
  <si>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</si>
  <si>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</si>
  <si>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</si>
  <si>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</si>
  <si>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</si>
  <si>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</si>
  <si>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</si>
  <si>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</si>
  <si>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</si>
  <si>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</si>
  <si>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</si>
  <si>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</si>
  <si>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</si>
  <si>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</si>
  <si>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</si>
  <si>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</si>
  <si>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</si>
  <si>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</si>
  <si>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</si>
  <si>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</si>
  <si>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</si>
  <si>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</si>
  <si>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</si>
  <si>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</si>
  <si>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</si>
  <si>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</si>
  <si>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</si>
  <si>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</si>
  <si>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</si>
  <si>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</si>
  <si>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</si>
  <si>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</si>
  <si>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</si>
  <si>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</si>
  <si>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</si>
  <si>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</si>
  <si>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</si>
  <si>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</si>
  <si>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</si>
  <si>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</si>
  <si>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</si>
  <si>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</si>
  <si>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</si>
  <si>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</si>
  <si>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</si>
  <si>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</si>
  <si>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</si>
  <si>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</si>
  <si>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</si>
  <si>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</si>
  <si>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</si>
  <si>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</si>
  <si>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</si>
  <si>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</si>
  <si>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</si>
  <si>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</si>
  <si>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</si>
  <si>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</si>
  <si>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</si>
  <si>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</si>
  <si>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</si>
  <si>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</si>
  <si>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</si>
  <si>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</si>
  <si>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</si>
  <si>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</si>
  <si>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</si>
  <si>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</si>
  <si>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</si>
  <si>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</si>
  <si>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</si>
  <si>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</si>
  <si>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</si>
  <si>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</si>
  <si>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</si>
  <si>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</si>
  <si>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</si>
  <si>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</si>
  <si>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</si>
  <si>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</si>
  <si>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</si>
  <si>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</si>
  <si>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</si>
  <si>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</si>
  <si>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</si>
  <si>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</si>
  <si>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</si>
  <si>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</si>
  <si>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</si>
  <si>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</si>
  <si>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</si>
  <si>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</si>
  <si>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</si>
  <si>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</si>
  <si>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</si>
  <si>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</si>
  <si>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</si>
  <si>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</si>
  <si>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</si>
  <si>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</si>
  <si>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</si>
  <si>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</si>
  <si>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</si>
  <si>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</si>
  <si>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</si>
  <si>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</si>
  <si>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</si>
  <si>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</si>
  <si>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</si>
  <si>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</si>
  <si>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</si>
  <si>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</si>
  <si>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</si>
  <si>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</si>
  <si>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Rótulos de Linha</t>
  </si>
  <si>
    <t>Total Geral</t>
  </si>
  <si>
    <t>Responder uma pergunta de negócios através de alguma análise de dados é o que transforma dados em informaçao.</t>
  </si>
  <si>
    <t>Gráficos são uma representação visual das informações</t>
  </si>
  <si>
    <t>Soma de EA Play Season Pass</t>
  </si>
  <si>
    <t>Soma de Minecraft Season Pass Price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</si>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</sst>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 Light"/>
      <family val="2"/>
    </font>
    <font>
      <b/>
      <sz val="15"/>
      <color rgb="FF22C55E"/>
      <name val="Segoe UI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  <xf numFmtId="0" fontId="5" fillId="9" borderId="0" applyNumberFormat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9" borderId="0" xfId="4"/>
    <xf numFmtId="0" fontId="4" fillId="8" borderId="0" xfId="3"/>
    <xf numFmtId="0" fontId="6" fillId="0" borderId="2" xfId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NumberFormat="1"/>
    <xf numFmtId="165" fontId="0" fillId="0" borderId="0" xfId="2" applyNumberFormat="1" applyFont="1"/>
    <xf numFmtId="0" fontId="7" fillId="0" borderId="2" xfId="1" applyFont="1" applyBorder="1" applyAlignment="1">
      <alignment horizontal="left" vertical="center"/>
    </xf>
    <xf numFmtId="165" fontId="0" fillId="0" borderId="0" xfId="0" applyNumberFormat="1"/>
    <xf numFmtId="0" fontId="7" fillId="0" borderId="2" xfId="1" applyFont="1" applyBorder="1" applyAlignment="1">
      <alignment horizontal="left" vertical="center" indent="5"/>
    </xf>
  </cellXfs>
  <cellStyles count="5">
    <cellStyle name="Moeda" xfId="2" builtinId="4"/>
    <cellStyle name="Neutro" xfId="4" builtinId="28"/>
    <cellStyle name="Normal" xfId="0" builtinId="0"/>
    <cellStyle name="Ruim" xfId="3" builtinId="27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ill>
        <patternFill>
          <bgColor rgb="FF22C55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D327BEA4-75F5-4504-9489-F87B730C7456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C55E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709055392447605E-2"/>
          <c:y val="5.0985736402647898E-2"/>
          <c:w val="0.88093160771059398"/>
          <c:h val="0.898028527194704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A1-4881-A585-C8E329DAE30F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A1-4881-A585-C8E329DAE3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C55E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A1-4881-A585-C8E329DAE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4562144"/>
        <c:axId val="1291770992"/>
      </c:barChart>
      <c:catAx>
        <c:axId val="1264562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1770992"/>
        <c:crosses val="autoZero"/>
        <c:auto val="1"/>
        <c:lblAlgn val="ctr"/>
        <c:lblOffset val="100"/>
        <c:noMultiLvlLbl val="0"/>
      </c:catAx>
      <c:valAx>
        <c:axId val="12917709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6456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22110</xdr:colOff>
      <xdr:row>0</xdr:row>
      <xdr:rowOff>199686</xdr:rowOff>
    </xdr:from>
    <xdr:to>
      <xdr:col>2</xdr:col>
      <xdr:colOff>443933</xdr:colOff>
      <xdr:row>2</xdr:row>
      <xdr:rowOff>259218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03B5A5-461C-4B8A-9F78-68256CAC2B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6" r="71122" b="10314"/>
        <a:stretch>
          <a:fillRect/>
        </a:stretch>
      </xdr:blipFill>
      <xdr:spPr>
        <a:xfrm>
          <a:off x="1793760" y="199686"/>
          <a:ext cx="659948" cy="916782"/>
        </a:xfrm>
        <a:prstGeom prst="rect">
          <a:avLst/>
        </a:prstGeom>
      </xdr:spPr>
    </xdr:pic>
    <xdr:clientData/>
  </xdr:twoCellAnchor>
  <xdr:twoCellAnchor editAs="absolute">
    <xdr:from>
      <xdr:col>0</xdr:col>
      <xdr:colOff>11905</xdr:colOff>
      <xdr:row>6</xdr:row>
      <xdr:rowOff>23812</xdr:rowOff>
    </xdr:from>
    <xdr:to>
      <xdr:col>0</xdr:col>
      <xdr:colOff>1741714</xdr:colOff>
      <xdr:row>13</xdr:row>
      <xdr:rowOff>35718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5B5BEBD-498C-40D1-9C12-BEF065DE07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5" y="1643062"/>
              <a:ext cx="1729809" cy="15740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59530</xdr:colOff>
      <xdr:row>5</xdr:row>
      <xdr:rowOff>35719</xdr:rowOff>
    </xdr:from>
    <xdr:to>
      <xdr:col>10</xdr:col>
      <xdr:colOff>11905</xdr:colOff>
      <xdr:row>11</xdr:row>
      <xdr:rowOff>111919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E358A004-6503-2019-ECA5-48F237B0F134}"/>
            </a:ext>
          </a:extLst>
        </xdr:cNvPr>
        <xdr:cNvGrpSpPr/>
      </xdr:nvGrpSpPr>
      <xdr:grpSpPr>
        <a:xfrm>
          <a:off x="2069305" y="1531144"/>
          <a:ext cx="4829175" cy="1381125"/>
          <a:chOff x="2071686" y="1524000"/>
          <a:chExt cx="4810125" cy="1373982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53C639CB-E006-414E-FE3F-EE5A3084CF1A}"/>
              </a:ext>
            </a:extLst>
          </xdr:cNvPr>
          <xdr:cNvSpPr/>
        </xdr:nvSpPr>
        <xdr:spPr>
          <a:xfrm>
            <a:off x="2083592" y="1607344"/>
            <a:ext cx="4798219" cy="107156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B19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3E816809-EADD-4B43-BCEE-2F9C09EDA1D0}"/>
              </a:ext>
            </a:extLst>
          </xdr:cNvPr>
          <xdr:cNvSpPr/>
        </xdr:nvSpPr>
        <xdr:spPr>
          <a:xfrm>
            <a:off x="3438524" y="1704976"/>
            <a:ext cx="3298031" cy="116681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36DFAE0-38E3-4AB4-A836-1CB88A8FDEF4}" type="TxLink">
              <a:rPr lang="en-US" sz="4000" b="1" i="0" u="none" strike="noStrike">
                <a:solidFill>
                  <a:srgbClr val="22C55E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pPr algn="ctr"/>
              <a:t>R$ 990,00</a:t>
            </a:fld>
            <a:endParaRPr lang="pt-BR" sz="4000" b="1">
              <a:solidFill>
                <a:srgbClr val="22C55E"/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717A1D6C-9FC0-442F-86F9-67D1EC9C16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12218" y="1678782"/>
            <a:ext cx="1219200" cy="1219200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9C335458-BDE2-D7BD-6F0A-BF9BCB1DCF8A}"/>
              </a:ext>
            </a:extLst>
          </xdr:cNvPr>
          <xdr:cNvSpPr/>
        </xdr:nvSpPr>
        <xdr:spPr>
          <a:xfrm>
            <a:off x="2071686" y="1524000"/>
            <a:ext cx="4810125" cy="40481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 Light" panose="020B0502040204020203" pitchFamily="34" charset="0"/>
                <a:cs typeface="Segoe UI Light" panose="020B0502040204020203" pitchFamily="34" charset="0"/>
              </a:rPr>
              <a:t>TOTAL SUBSCRIPTION EA PLAY</a:t>
            </a:r>
            <a:r>
              <a:rPr lang="pt-BR" sz="1200" b="1" baseline="0">
                <a:latin typeface="Segoe UI Light" panose="020B0502040204020203" pitchFamily="34" charset="0"/>
                <a:cs typeface="Segoe UI Light" panose="020B0502040204020203" pitchFamily="34" charset="0"/>
              </a:rPr>
              <a:t> SEASON PASS</a:t>
            </a:r>
            <a:endParaRPr lang="pt-BR" sz="1200" b="1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276779</xdr:colOff>
      <xdr:row>5</xdr:row>
      <xdr:rowOff>49007</xdr:rowOff>
    </xdr:from>
    <xdr:to>
      <xdr:col>18</xdr:col>
      <xdr:colOff>398777</xdr:colOff>
      <xdr:row>11</xdr:row>
      <xdr:rowOff>98631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51A50B76-7A6F-6958-604B-F8E306CF591A}"/>
            </a:ext>
          </a:extLst>
        </xdr:cNvPr>
        <xdr:cNvGrpSpPr/>
      </xdr:nvGrpSpPr>
      <xdr:grpSpPr>
        <a:xfrm>
          <a:off x="7163354" y="1544432"/>
          <a:ext cx="4827348" cy="1354549"/>
          <a:chOff x="7166486" y="1545105"/>
          <a:chExt cx="4858402" cy="1367466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D52A9FB3-9503-4AD4-B621-6457DA2F1770}"/>
              </a:ext>
            </a:extLst>
          </xdr:cNvPr>
          <xdr:cNvGrpSpPr/>
        </xdr:nvGrpSpPr>
        <xdr:grpSpPr>
          <a:xfrm>
            <a:off x="7166486" y="1545105"/>
            <a:ext cx="4858402" cy="1367466"/>
            <a:chOff x="2071686" y="1524000"/>
            <a:chExt cx="4810125" cy="1347788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A471EBD2-68B0-6DC1-EAE7-1B8E5756C02F}"/>
                </a:ext>
              </a:extLst>
            </xdr:cNvPr>
            <xdr:cNvSpPr/>
          </xdr:nvSpPr>
          <xdr:spPr>
            <a:xfrm>
              <a:off x="2083592" y="1607344"/>
              <a:ext cx="4798219" cy="107156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B28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60AB8F26-B2BC-93A3-C900-99382A4D7338}"/>
                </a:ext>
              </a:extLst>
            </xdr:cNvPr>
            <xdr:cNvSpPr/>
          </xdr:nvSpPr>
          <xdr:spPr>
            <a:xfrm>
              <a:off x="3438524" y="1704976"/>
              <a:ext cx="3298031" cy="1166812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36094A7-89B2-448D-8464-1AC76F9BC1F9}" type="TxLink">
                <a:rPr lang="en-US" sz="4000" b="1" i="0" u="none" strike="noStrike">
                  <a:solidFill>
                    <a:srgbClr val="22C55E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rPr>
                <a:t>R$ 1.140,00</a:t>
              </a:fld>
              <a:endParaRPr lang="pt-BR" sz="16600" b="1">
                <a:solidFill>
                  <a:srgbClr val="22C55E"/>
                </a:solidFill>
                <a:latin typeface="Segoe UI Light" panose="020B0502040204020203" pitchFamily="34" charset="0"/>
                <a:cs typeface="Segoe UI Light" panose="020B0502040204020203" pitchFamily="34" charset="0"/>
              </a:endParaRPr>
            </a:p>
          </xdr:txBody>
        </xdr: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76C4EB45-18AF-3C79-F5D4-B756F7F421D2}"/>
                </a:ext>
              </a:extLst>
            </xdr:cNvPr>
            <xdr:cNvSpPr/>
          </xdr:nvSpPr>
          <xdr:spPr>
            <a:xfrm>
              <a:off x="2071686" y="1524000"/>
              <a:ext cx="4810125" cy="404813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 Light" panose="020B0502040204020203" pitchFamily="34" charset="0"/>
                  <a:cs typeface="Segoe UI Light" panose="020B0502040204020203" pitchFamily="34" charset="0"/>
                </a:rPr>
                <a:t>TOTAL SUBSCRIPTION MINECRAFT</a:t>
              </a:r>
              <a:r>
                <a:rPr lang="pt-BR" sz="1200" b="1" baseline="0">
                  <a:latin typeface="Segoe UI Light" panose="020B0502040204020203" pitchFamily="34" charset="0"/>
                  <a:cs typeface="Segoe UI Light" panose="020B0502040204020203" pitchFamily="34" charset="0"/>
                </a:rPr>
                <a:t> SEASON PASS</a:t>
              </a:r>
              <a:endParaRPr lang="pt-BR" sz="1200" b="1">
                <a:latin typeface="Segoe UI Light" panose="020B0502040204020203" pitchFamily="34" charset="0"/>
                <a:cs typeface="Segoe UI Light" panose="020B0502040204020203" pitchFamily="34" charset="0"/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F657E46A-CD61-4117-9CC8-2816100E0FB3}"/>
              </a:ext>
            </a:extLst>
          </xdr:cNvPr>
          <xdr:cNvGrpSpPr/>
        </xdr:nvGrpSpPr>
        <xdr:grpSpPr>
          <a:xfrm>
            <a:off x="7711336" y="2125094"/>
            <a:ext cx="1109076" cy="419255"/>
            <a:chOff x="3495675" y="5499678"/>
            <a:chExt cx="1549476" cy="653472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3A69294B-6556-15B6-6D90-7050095E09E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99678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FABAA656-4C59-B6F5-BDA5-ED217C18BB0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59530</xdr:colOff>
      <xdr:row>11</xdr:row>
      <xdr:rowOff>148976</xdr:rowOff>
    </xdr:from>
    <xdr:to>
      <xdr:col>18</xdr:col>
      <xdr:colOff>398777</xdr:colOff>
      <xdr:row>28</xdr:row>
      <xdr:rowOff>116779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B4E26430-6B0E-203F-A0D1-6B05B8BC592D}"/>
            </a:ext>
          </a:extLst>
        </xdr:cNvPr>
        <xdr:cNvGrpSpPr/>
      </xdr:nvGrpSpPr>
      <xdr:grpSpPr>
        <a:xfrm>
          <a:off x="2069305" y="2949326"/>
          <a:ext cx="9921397" cy="3206303"/>
          <a:chOff x="2087671" y="2784661"/>
          <a:chExt cx="9981678" cy="3295029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F892F5B3-3826-CA30-3DF7-B2537ADEE424}"/>
              </a:ext>
            </a:extLst>
          </xdr:cNvPr>
          <xdr:cNvGrpSpPr/>
        </xdr:nvGrpSpPr>
        <xdr:grpSpPr>
          <a:xfrm>
            <a:off x="2104635" y="2841027"/>
            <a:ext cx="9964714" cy="3238663"/>
            <a:chOff x="2059782" y="1488282"/>
            <a:chExt cx="9866895" cy="3155156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5ADF28F6-145B-0D40-5225-A8B404FB2092}"/>
                </a:ext>
              </a:extLst>
            </xdr:cNvPr>
            <xdr:cNvSpPr/>
          </xdr:nvSpPr>
          <xdr:spPr>
            <a:xfrm>
              <a:off x="2059782" y="1488282"/>
              <a:ext cx="9866895" cy="3155156"/>
            </a:xfrm>
            <a:prstGeom prst="roundRect">
              <a:avLst>
                <a:gd name="adj" fmla="val 1025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60FFE499-6576-440D-AEA0-0A308AA6F190}"/>
                </a:ext>
              </a:extLst>
            </xdr:cNvPr>
            <xdr:cNvGraphicFramePr>
              <a:graphicFrameLocks/>
            </xdr:cNvGraphicFramePr>
          </xdr:nvGraphicFramePr>
          <xdr:xfrm>
            <a:off x="2357436" y="1843089"/>
            <a:ext cx="9414202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41CDD2E9-460E-4CA1-B9B5-935836F93AD4}"/>
              </a:ext>
            </a:extLst>
          </xdr:cNvPr>
          <xdr:cNvSpPr/>
        </xdr:nvSpPr>
        <xdr:spPr>
          <a:xfrm>
            <a:off x="2087671" y="2784661"/>
            <a:ext cx="9981678" cy="41072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 Light" panose="020B0502040204020203" pitchFamily="34" charset="0"/>
                <a:cs typeface="Segoe UI Light" panose="020B0502040204020203" pitchFamily="34" charset="0"/>
              </a:rPr>
              <a:t>TOTAL SUBSCRIPTION XBOX</a:t>
            </a:r>
            <a:r>
              <a:rPr lang="pt-BR" sz="1200" b="1" baseline="0">
                <a:latin typeface="Segoe UI Light" panose="020B0502040204020203" pitchFamily="34" charset="0"/>
                <a:cs typeface="Segoe UI Light" panose="020B0502040204020203" pitchFamily="34" charset="0"/>
              </a:rPr>
              <a:t> GAME PASS</a:t>
            </a:r>
            <a:endParaRPr lang="pt-BR" sz="1200" b="1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518355</xdr:colOff>
      <xdr:row>0</xdr:row>
      <xdr:rowOff>285750</xdr:rowOff>
    </xdr:from>
    <xdr:to>
      <xdr:col>0</xdr:col>
      <xdr:colOff>1213680</xdr:colOff>
      <xdr:row>2</xdr:row>
      <xdr:rowOff>123825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1255282C-3A8D-42AA-BF88-BF23A735C7B3}"/>
            </a:ext>
          </a:extLst>
        </xdr:cNvPr>
        <xdr:cNvSpPr/>
      </xdr:nvSpPr>
      <xdr:spPr>
        <a:xfrm>
          <a:off x="518355" y="28575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</xdr:col>
      <xdr:colOff>59871</xdr:colOff>
      <xdr:row>2</xdr:row>
      <xdr:rowOff>401411</xdr:rowOff>
    </xdr:from>
    <xdr:to>
      <xdr:col>9</xdr:col>
      <xdr:colOff>450741</xdr:colOff>
      <xdr:row>5</xdr:row>
      <xdr:rowOff>34657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2CBB7980-B50E-1740-7215-251A977D8137}"/>
            </a:ext>
          </a:extLst>
        </xdr:cNvPr>
        <xdr:cNvSpPr txBox="1"/>
      </xdr:nvSpPr>
      <xdr:spPr>
        <a:xfrm>
          <a:off x="2069646" y="1258661"/>
          <a:ext cx="4658070" cy="2714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050" b="0" baseline="0">
              <a:solidFill>
                <a:schemeClr val="bg1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Calculation Period: 01/01/2024 - 31/12/2024 | Update Date: 25/12/2024 09:00:00</a:t>
          </a:r>
          <a:endParaRPr lang="pt-BR" sz="1050" b="0">
            <a:solidFill>
              <a:schemeClr val="bg1">
                <a:lumMod val="50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240846</xdr:colOff>
      <xdr:row>2</xdr:row>
      <xdr:rowOff>153761</xdr:rowOff>
    </xdr:from>
    <xdr:to>
      <xdr:col>0</xdr:col>
      <xdr:colOff>1491188</xdr:colOff>
      <xdr:row>3</xdr:row>
      <xdr:rowOff>15607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1E98E0D7-1E0F-45FA-9F30-4781958424B4}"/>
            </a:ext>
          </a:extLst>
        </xdr:cNvPr>
        <xdr:cNvSpPr txBox="1"/>
      </xdr:nvSpPr>
      <xdr:spPr>
        <a:xfrm>
          <a:off x="240846" y="1011011"/>
          <a:ext cx="1250342" cy="2714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050" b="1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BEM VINDA MARA</a:t>
          </a:r>
          <a:endParaRPr lang="pt-BR" sz="1050" b="1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a Rúbia Endres" refreshedDate="46276.586143981483" createdVersion="8" refreshedVersion="8" minRefreshableVersion="3" recordCount="295" xr:uid="{84FE4A9C-4185-4EAA-BC26-51884F3CF3C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741616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99BBD-9D5A-4CF9-9FD4-74260B52A04A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23:B2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9E461-D4A3-45E3-A675-074138DDBB13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4:B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1418E-B210-4ACD-B233-33E925507224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EE475EE-624D-44E0-B403-F78AD8CDD131}" sourceName="Subscription Type">
  <pivotTables>
    <pivotTable tabId="3" name="Tabela dinâmica1"/>
    <pivotTable tabId="3" name="Tabela dinâmica2"/>
    <pivotTable tabId="3" name="Tabela dinâmica3"/>
  </pivotTables>
  <data>
    <tabular pivotCacheId="37416166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25FE2B4-0A69-4D5E-A72D-5079EBF48821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H1" zoomScaleNormal="100" workbookViewId="0">
      <selection activeCell="B5" sqref="B5:C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5" sqref="B5:C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F28"/>
  <sheetViews>
    <sheetView showGridLines="0" topLeftCell="A13" workbookViewId="0">
      <selection activeCell="B17" sqref="B17"/>
    </sheetView>
  </sheetViews>
  <sheetFormatPr defaultRowHeight="15" x14ac:dyDescent="0.25"/>
  <cols>
    <col min="1" max="1" width="18.42578125" bestFit="1" customWidth="1"/>
    <col min="2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6" x14ac:dyDescent="0.25">
      <c r="A1" s="13" t="s">
        <v>17</v>
      </c>
      <c r="B1" t="s">
        <v>35</v>
      </c>
    </row>
    <row r="3" spans="1:6" x14ac:dyDescent="0.25">
      <c r="A3" s="13" t="s">
        <v>314</v>
      </c>
      <c r="B3" t="s">
        <v>313</v>
      </c>
    </row>
    <row r="4" spans="1:6" x14ac:dyDescent="0.25">
      <c r="A4" s="14" t="s">
        <v>30</v>
      </c>
      <c r="B4" s="12">
        <v>806</v>
      </c>
    </row>
    <row r="5" spans="1:6" x14ac:dyDescent="0.25">
      <c r="A5" s="14" t="s">
        <v>26</v>
      </c>
      <c r="B5" s="12">
        <v>1502</v>
      </c>
    </row>
    <row r="6" spans="1:6" x14ac:dyDescent="0.25">
      <c r="A6" s="14" t="s">
        <v>315</v>
      </c>
      <c r="B6" s="12">
        <v>2308</v>
      </c>
    </row>
    <row r="8" spans="1:6" x14ac:dyDescent="0.25">
      <c r="A8" s="15" t="s">
        <v>316</v>
      </c>
      <c r="B8" s="15"/>
      <c r="C8" s="15"/>
      <c r="D8" s="15"/>
      <c r="E8" s="15"/>
      <c r="F8" s="15"/>
    </row>
    <row r="9" spans="1:6" x14ac:dyDescent="0.25">
      <c r="B9" s="16" t="s">
        <v>317</v>
      </c>
      <c r="C9" s="16"/>
      <c r="D9" s="16"/>
    </row>
    <row r="12" spans="1:6" x14ac:dyDescent="0.25">
      <c r="A12" s="13" t="s">
        <v>17</v>
      </c>
      <c r="B12" t="s">
        <v>35</v>
      </c>
    </row>
    <row r="14" spans="1:6" x14ac:dyDescent="0.25">
      <c r="A14" s="13" t="s">
        <v>314</v>
      </c>
      <c r="B14" t="s">
        <v>318</v>
      </c>
    </row>
    <row r="15" spans="1:6" x14ac:dyDescent="0.25">
      <c r="A15" s="14" t="s">
        <v>29</v>
      </c>
      <c r="B15" s="19">
        <v>0</v>
      </c>
    </row>
    <row r="16" spans="1:6" x14ac:dyDescent="0.25">
      <c r="A16" s="14" t="s">
        <v>34</v>
      </c>
      <c r="B16" s="19">
        <v>0</v>
      </c>
    </row>
    <row r="17" spans="1:2" x14ac:dyDescent="0.25">
      <c r="A17" s="14" t="s">
        <v>25</v>
      </c>
      <c r="B17" s="19">
        <v>990</v>
      </c>
    </row>
    <row r="18" spans="1:2" x14ac:dyDescent="0.25">
      <c r="A18" s="14" t="s">
        <v>315</v>
      </c>
      <c r="B18" s="19">
        <v>990</v>
      </c>
    </row>
    <row r="19" spans="1:2" x14ac:dyDescent="0.25">
      <c r="B19" s="20">
        <f>GETPIVOTDATA("EA Play Season Pass
Price",$A$14,"Plan","Ultimate")</f>
        <v>990</v>
      </c>
    </row>
    <row r="21" spans="1:2" x14ac:dyDescent="0.25">
      <c r="A21" s="13" t="s">
        <v>17</v>
      </c>
      <c r="B21" t="s">
        <v>35</v>
      </c>
    </row>
    <row r="23" spans="1:2" x14ac:dyDescent="0.25">
      <c r="A23" s="13" t="s">
        <v>314</v>
      </c>
      <c r="B23" t="s">
        <v>319</v>
      </c>
    </row>
    <row r="24" spans="1:2" x14ac:dyDescent="0.25">
      <c r="A24" s="14" t="s">
        <v>29</v>
      </c>
      <c r="B24" s="12">
        <v>0</v>
      </c>
    </row>
    <row r="25" spans="1:2" x14ac:dyDescent="0.25">
      <c r="A25" s="14" t="s">
        <v>34</v>
      </c>
      <c r="B25" s="12">
        <v>480</v>
      </c>
    </row>
    <row r="26" spans="1:2" x14ac:dyDescent="0.25">
      <c r="A26" s="14" t="s">
        <v>25</v>
      </c>
      <c r="B26" s="12">
        <v>660</v>
      </c>
    </row>
    <row r="27" spans="1:2" x14ac:dyDescent="0.25">
      <c r="A27" s="14" t="s">
        <v>315</v>
      </c>
      <c r="B27" s="12">
        <v>1140</v>
      </c>
    </row>
    <row r="28" spans="1:2" x14ac:dyDescent="0.25">
      <c r="B28" s="22">
        <f>GETPIVOTDATA("Minecraft Season Pass Price",$A$23)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416"/>
  <sheetViews>
    <sheetView showGridLines="0" showRowColHeaders="0" tabSelected="1" zoomScaleNormal="100" workbookViewId="0">
      <selection activeCell="A24" sqref="A24"/>
    </sheetView>
  </sheetViews>
  <sheetFormatPr defaultRowHeight="15" x14ac:dyDescent="0.25"/>
  <cols>
    <col min="1" max="1" width="26.5703125" style="4" customWidth="1"/>
    <col min="2" max="2" width="3.5703125" customWidth="1"/>
    <col min="12" max="12" width="6.5703125" customWidth="1"/>
  </cols>
  <sheetData>
    <row r="1" spans="1:19" ht="39" customHeight="1" x14ac:dyDescent="0.25"/>
    <row r="2" spans="1:19" ht="28.5" customHeight="1" thickBot="1" x14ac:dyDescent="0.3">
      <c r="C2" s="23" t="s">
        <v>320</v>
      </c>
      <c r="D2" s="17"/>
      <c r="E2" s="17"/>
      <c r="F2" s="17"/>
      <c r="G2" s="17"/>
      <c r="H2" s="18"/>
      <c r="I2" s="18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ht="32.25" customHeight="1" x14ac:dyDescent="0.25"/>
    <row r="4" spans="1:19" s="7" customFormat="1" ht="7.5" customHeight="1" x14ac:dyDescent="0.25">
      <c r="A4" s="4"/>
    </row>
    <row r="5" spans="1:19" s="7" customFormat="1" ht="10.5" customHeight="1" x14ac:dyDescent="0.25">
      <c r="A5" s="4"/>
    </row>
    <row r="6" spans="1:19" s="7" customFormat="1" ht="9.75" customHeight="1" x14ac:dyDescent="0.25">
      <c r="A6" s="4"/>
    </row>
    <row r="7" spans="1:19" s="7" customFormat="1" ht="33" customHeight="1" x14ac:dyDescent="0.25">
      <c r="A7" s="4"/>
    </row>
    <row r="8" spans="1:19" s="7" customForma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Mara Rúbia Endres</cp:lastModifiedBy>
  <cp:revision/>
  <dcterms:created xsi:type="dcterms:W3CDTF">2024-12-19T13:13:10Z</dcterms:created>
  <dcterms:modified xsi:type="dcterms:W3CDTF">2026-09-11T18:53:11Z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